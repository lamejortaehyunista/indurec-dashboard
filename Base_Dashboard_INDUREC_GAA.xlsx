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taehy\Downloads\indurec-dashboard\"/>
    </mc:Choice>
  </mc:AlternateContent>
  <xr:revisionPtr revIDLastSave="0" documentId="13_ncr:1_{526B2EEE-BE75-468C-9D0B-CF124001D81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ase_Indicadores" sheetId="1" r:id="rId1"/>
    <sheet name="Base_Financiera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5" i="2" l="1"/>
  <c r="F5" i="2"/>
</calcChain>
</file>

<file path=xl/sharedStrings.xml><?xml version="1.0" encoding="utf-8"?>
<sst xmlns="http://schemas.openxmlformats.org/spreadsheetml/2006/main" count="117" uniqueCount="30">
  <si>
    <t>Objetivo</t>
  </si>
  <si>
    <t>Herramienta</t>
  </si>
  <si>
    <t>Indicador</t>
  </si>
  <si>
    <t>As-Is</t>
  </si>
  <si>
    <t>Estándar</t>
  </si>
  <si>
    <t>To-Be</t>
  </si>
  <si>
    <t>Objetivo 1</t>
  </si>
  <si>
    <t>TPM</t>
  </si>
  <si>
    <t>MTBF</t>
  </si>
  <si>
    <t>Fallas mensuales</t>
  </si>
  <si>
    <t>Confiabilidad</t>
  </si>
  <si>
    <t>Objetivo 3</t>
  </si>
  <si>
    <t>Six Sigma</t>
  </si>
  <si>
    <t>% piezas conformes</t>
  </si>
  <si>
    <t>Objetivo 4</t>
  </si>
  <si>
    <t>QFD</t>
  </si>
  <si>
    <t>Órdenes con especificaciones completas</t>
  </si>
  <si>
    <t>Objetivo 5</t>
  </si>
  <si>
    <t>Kanban</t>
  </si>
  <si>
    <t>Uso correcto de materiales</t>
  </si>
  <si>
    <t>Escenario</t>
  </si>
  <si>
    <t>Valor</t>
  </si>
  <si>
    <t>Costo de reproceso</t>
  </si>
  <si>
    <t>Horas perdidas</t>
  </si>
  <si>
    <t>Inversión (S/.)</t>
  </si>
  <si>
    <t>Costo anual As-Is (S/.)</t>
  </si>
  <si>
    <t>Costo anual To-Be (S/.)</t>
  </si>
  <si>
    <t>Ahorro anual (S/.)</t>
  </si>
  <si>
    <t>Ahorro mensual (S/.)</t>
  </si>
  <si>
    <t>Recuperación (meses)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</si>
</sst>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S/&quot;\ * #,##0.00_-;\-&quot;S/&quot;\ * #,##0.00_-;_-&quot;S/&quot;\ * &quot;-&quot;??_-;_-@_-"/>
    <numFmt numFmtId="164" formatCode="&quot;S/&quot;\ #,##0.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 Light"/>
      <family val="2"/>
    </font>
    <font>
      <sz val="12"/>
      <color theme="1"/>
      <name val="Calibri Light"/>
      <family val="2"/>
    </font>
    <font>
      <i/>
      <sz val="12"/>
      <color theme="1"/>
      <name val="Calibri Light"/>
      <family val="2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4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164" fontId="4" fillId="2" borderId="1" xfId="0" applyNumberFormat="1" applyFont="1" applyFill="1" applyBorder="1" applyAlignment="1">
      <alignment horizontal="center" vertical="center" wrapText="1"/>
    </xf>
    <xf numFmtId="0" fontId="4" fillId="2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44" fontId="3" fillId="3" borderId="1" xfId="1" applyFont="1" applyFill="1" applyBorder="1" applyAlignment="1">
      <alignment horizontal="center" vertical="center" wrapText="1"/>
    </xf>
    <xf numFmtId="0" fontId="3" fillId="3" borderId="1" xfId="1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44" fontId="3" fillId="4" borderId="1" xfId="1" applyFont="1" applyFill="1" applyBorder="1" applyAlignment="1">
      <alignment horizontal="center" vertical="center" wrapText="1"/>
    </xf>
    <xf numFmtId="0" fontId="3" fillId="4" borderId="1" xfId="1" applyNumberFormat="1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164" fontId="4" fillId="5" borderId="1" xfId="0" applyNumberFormat="1" applyFont="1" applyFill="1" applyBorder="1" applyAlignment="1">
      <alignment horizontal="center" vertical="center" wrapText="1"/>
    </xf>
    <xf numFmtId="0" fontId="4" fillId="5" borderId="1" xfId="0" applyNumberFormat="1" applyFont="1" applyFill="1" applyBorder="1" applyAlignment="1">
      <alignment horizontal="center" vertical="center" wrapText="1"/>
    </xf>
    <xf numFmtId="10" fontId="4" fillId="0" borderId="1" xfId="0" applyNumberFormat="1" applyFont="1" applyBorder="1" applyAlignment="1">
      <alignment horizontal="center" vertical="center" wrapText="1"/>
    </xf>
    <xf numFmtId="9" fontId="4" fillId="0" borderId="1" xfId="0" applyNumberFormat="1" applyFont="1" applyBorder="1" applyAlignment="1">
      <alignment horizontal="center" vertical="center" wrapText="1"/>
    </xf>
    <xf numFmtId="10" fontId="3" fillId="4" borderId="1" xfId="0" applyNumberFormat="1" applyFont="1" applyFill="1" applyBorder="1" applyAlignment="1">
      <alignment horizontal="center" vertical="center" wrapText="1"/>
    </xf>
    <xf numFmtId="9" fontId="4" fillId="3" borderId="1" xfId="0" applyNumberFormat="1" applyFont="1" applyFill="1" applyBorder="1" applyAlignment="1">
      <alignment horizontal="center" vertical="center" wrapText="1"/>
    </xf>
    <xf numFmtId="10" fontId="4" fillId="3" borderId="1" xfId="0" applyNumberFormat="1" applyFont="1" applyFill="1" applyBorder="1" applyAlignment="1">
      <alignment horizontal="center" vertical="center" wrapText="1"/>
    </xf>
    <xf numFmtId="10" fontId="4" fillId="2" borderId="1" xfId="0" applyNumberFormat="1" applyFont="1" applyFill="1" applyBorder="1" applyAlignment="1">
      <alignment horizontal="center" vertical="center" wrapText="1"/>
    </xf>
    <xf numFmtId="9" fontId="4" fillId="2" borderId="1" xfId="0" applyNumberFormat="1" applyFont="1" applyFill="1" applyBorder="1" applyAlignment="1">
      <alignment horizontal="center" vertical="center" wrapText="1"/>
    </xf>
    <xf numFmtId="9" fontId="3" fillId="4" borderId="1" xfId="0" applyNumberFormat="1" applyFont="1" applyFill="1" applyBorder="1" applyAlignment="1">
      <alignment horizontal="center" vertical="center" wrapText="1"/>
    </xf>
  </cellXfs>
  <cellStyles count="2">
    <cellStyle name="Mon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"/>
  <sheetViews>
    <sheetView tabSelected="1" topLeftCell="A5" zoomScale="85" zoomScaleNormal="85" workbookViewId="0">
      <selection activeCell="C24" sqref="C24"/>
    </sheetView>
  </sheetViews>
  <sheetFormatPr baseColWidth="10" defaultColWidth="8.88671875" defaultRowHeight="14.4" x14ac:dyDescent="0.3"/>
  <cols>
    <col min="1" max="1" width="16.33203125" customWidth="1"/>
    <col min="2" max="2" width="15.33203125" customWidth="1"/>
    <col min="3" max="3" width="34.6640625" customWidth="1"/>
  </cols>
  <sheetData>
    <row r="1" spans="1:5" ht="31.2" x14ac:dyDescent="0.3">
      <c r="A1" s="1" t="s">
        <v>0</v>
      </c>
      <c r="B1" s="1" t="s">
        <v>1</v>
      </c>
      <c r="C1" s="1" t="s">
        <v>2</v>
      </c>
      <c r="D1" s="1" t="s">
        <v>20</v>
      </c>
      <c r="E1" s="1" t="s">
        <v>21</v>
      </c>
    </row>
    <row r="2" spans="1:5" ht="15.6" x14ac:dyDescent="0.3">
      <c r="A2" s="10" t="s">
        <v>6</v>
      </c>
      <c r="B2" s="10" t="s">
        <v>7</v>
      </c>
      <c r="C2" s="10" t="s">
        <v>8</v>
      </c>
      <c r="D2" s="10" t="s">
        <v>3</v>
      </c>
      <c r="E2" s="10">
        <v>68.8</v>
      </c>
    </row>
    <row r="3" spans="1:5" ht="15.6" x14ac:dyDescent="0.3">
      <c r="A3" s="10" t="s">
        <v>6</v>
      </c>
      <c r="B3" s="10" t="s">
        <v>7</v>
      </c>
      <c r="C3" s="10" t="s">
        <v>8</v>
      </c>
      <c r="D3" s="10" t="s">
        <v>4</v>
      </c>
      <c r="E3" s="10">
        <v>150</v>
      </c>
    </row>
    <row r="4" spans="1:5" ht="15.6" x14ac:dyDescent="0.3">
      <c r="A4" s="10" t="s">
        <v>6</v>
      </c>
      <c r="B4" s="10" t="s">
        <v>7</v>
      </c>
      <c r="C4" s="10" t="s">
        <v>8</v>
      </c>
      <c r="D4" s="10" t="s">
        <v>5</v>
      </c>
      <c r="E4" s="10">
        <v>93.1</v>
      </c>
    </row>
    <row r="5" spans="1:5" ht="15.6" x14ac:dyDescent="0.3">
      <c r="A5" s="10" t="s">
        <v>6</v>
      </c>
      <c r="B5" s="10" t="s">
        <v>7</v>
      </c>
      <c r="C5" s="10" t="s">
        <v>9</v>
      </c>
      <c r="D5" s="10" t="s">
        <v>3</v>
      </c>
      <c r="E5" s="10">
        <v>4.2</v>
      </c>
    </row>
    <row r="6" spans="1:5" ht="15.6" x14ac:dyDescent="0.3">
      <c r="A6" s="10" t="s">
        <v>6</v>
      </c>
      <c r="B6" s="10" t="s">
        <v>7</v>
      </c>
      <c r="C6" s="10" t="s">
        <v>9</v>
      </c>
      <c r="D6" s="10" t="s">
        <v>4</v>
      </c>
      <c r="E6" s="10">
        <v>2</v>
      </c>
    </row>
    <row r="7" spans="1:5" ht="15.6" x14ac:dyDescent="0.3">
      <c r="A7" s="10" t="s">
        <v>6</v>
      </c>
      <c r="B7" s="10" t="s">
        <v>7</v>
      </c>
      <c r="C7" s="10" t="s">
        <v>9</v>
      </c>
      <c r="D7" s="10" t="s">
        <v>5</v>
      </c>
      <c r="E7" s="10">
        <v>3</v>
      </c>
    </row>
    <row r="8" spans="1:5" ht="15.6" x14ac:dyDescent="0.3">
      <c r="A8" s="10" t="s">
        <v>6</v>
      </c>
      <c r="B8" s="10" t="s">
        <v>7</v>
      </c>
      <c r="C8" s="10" t="s">
        <v>23</v>
      </c>
      <c r="D8" s="10" t="s">
        <v>3</v>
      </c>
      <c r="E8" s="10">
        <v>26.3</v>
      </c>
    </row>
    <row r="9" spans="1:5" ht="15.6" x14ac:dyDescent="0.3">
      <c r="A9" s="10" t="s">
        <v>6</v>
      </c>
      <c r="B9" s="10" t="s">
        <v>7</v>
      </c>
      <c r="C9" s="10" t="s">
        <v>23</v>
      </c>
      <c r="D9" s="10" t="s">
        <v>4</v>
      </c>
      <c r="E9" s="10">
        <v>15</v>
      </c>
    </row>
    <row r="10" spans="1:5" ht="15.6" x14ac:dyDescent="0.3">
      <c r="A10" s="10" t="s">
        <v>6</v>
      </c>
      <c r="B10" s="10" t="s">
        <v>7</v>
      </c>
      <c r="C10" s="10" t="s">
        <v>23</v>
      </c>
      <c r="D10" s="10" t="s">
        <v>5</v>
      </c>
      <c r="E10" s="10">
        <v>18.8</v>
      </c>
    </row>
    <row r="11" spans="1:5" ht="15.6" x14ac:dyDescent="0.3">
      <c r="A11" s="10" t="s">
        <v>6</v>
      </c>
      <c r="B11" s="10" t="s">
        <v>7</v>
      </c>
      <c r="C11" s="10" t="s">
        <v>10</v>
      </c>
      <c r="D11" s="10" t="s">
        <v>3</v>
      </c>
      <c r="E11" s="18">
        <v>0.45900000000000002</v>
      </c>
    </row>
    <row r="12" spans="1:5" ht="15.6" x14ac:dyDescent="0.3">
      <c r="A12" s="10" t="s">
        <v>6</v>
      </c>
      <c r="B12" s="10" t="s">
        <v>7</v>
      </c>
      <c r="C12" s="10" t="s">
        <v>10</v>
      </c>
      <c r="D12" s="10" t="s">
        <v>4</v>
      </c>
      <c r="E12" s="23">
        <v>1</v>
      </c>
    </row>
    <row r="13" spans="1:5" ht="15.6" x14ac:dyDescent="0.3">
      <c r="A13" s="10" t="s">
        <v>6</v>
      </c>
      <c r="B13" s="10" t="s">
        <v>7</v>
      </c>
      <c r="C13" s="10" t="s">
        <v>10</v>
      </c>
      <c r="D13" s="10" t="s">
        <v>5</v>
      </c>
      <c r="E13" s="18">
        <v>0.621</v>
      </c>
    </row>
    <row r="14" spans="1:5" ht="15.6" x14ac:dyDescent="0.3">
      <c r="A14" s="6" t="s">
        <v>11</v>
      </c>
      <c r="B14" s="6" t="s">
        <v>12</v>
      </c>
      <c r="C14" s="6" t="s">
        <v>13</v>
      </c>
      <c r="D14" s="6" t="s">
        <v>3</v>
      </c>
      <c r="E14" s="19">
        <v>0.9</v>
      </c>
    </row>
    <row r="15" spans="1:5" ht="15.6" x14ac:dyDescent="0.3">
      <c r="A15" s="6" t="s">
        <v>11</v>
      </c>
      <c r="B15" s="6" t="s">
        <v>12</v>
      </c>
      <c r="C15" s="6" t="s">
        <v>13</v>
      </c>
      <c r="D15" s="6" t="s">
        <v>4</v>
      </c>
      <c r="E15" s="20">
        <v>0.98399999999999999</v>
      </c>
    </row>
    <row r="16" spans="1:5" ht="15.6" x14ac:dyDescent="0.3">
      <c r="A16" s="6" t="s">
        <v>11</v>
      </c>
      <c r="B16" s="6" t="s">
        <v>12</v>
      </c>
      <c r="C16" s="6" t="s">
        <v>13</v>
      </c>
      <c r="D16" s="6" t="s">
        <v>5</v>
      </c>
      <c r="E16" s="20">
        <v>0.98399999999999999</v>
      </c>
    </row>
    <row r="17" spans="1:5" ht="15.6" x14ac:dyDescent="0.3">
      <c r="A17" s="6" t="s">
        <v>11</v>
      </c>
      <c r="B17" s="6" t="s">
        <v>12</v>
      </c>
      <c r="C17" s="6" t="s">
        <v>22</v>
      </c>
      <c r="D17" s="6" t="s">
        <v>3</v>
      </c>
      <c r="E17" s="9">
        <v>300.60000000000002</v>
      </c>
    </row>
    <row r="18" spans="1:5" ht="15.6" x14ac:dyDescent="0.3">
      <c r="A18" s="6" t="s">
        <v>11</v>
      </c>
      <c r="B18" s="6" t="s">
        <v>12</v>
      </c>
      <c r="C18" s="6" t="s">
        <v>22</v>
      </c>
      <c r="D18" s="6" t="s">
        <v>4</v>
      </c>
      <c r="E18" s="9"/>
    </row>
    <row r="19" spans="1:5" ht="15.6" x14ac:dyDescent="0.3">
      <c r="A19" s="6" t="s">
        <v>11</v>
      </c>
      <c r="B19" s="6" t="s">
        <v>12</v>
      </c>
      <c r="C19" s="6" t="s">
        <v>22</v>
      </c>
      <c r="D19" s="6" t="s">
        <v>5</v>
      </c>
      <c r="E19" s="9">
        <v>100.2</v>
      </c>
    </row>
    <row r="20" spans="1:5" ht="31.2" x14ac:dyDescent="0.3">
      <c r="A20" s="3" t="s">
        <v>14</v>
      </c>
      <c r="B20" s="3" t="s">
        <v>15</v>
      </c>
      <c r="C20" s="3" t="s">
        <v>16</v>
      </c>
      <c r="D20" s="3" t="s">
        <v>3</v>
      </c>
      <c r="E20" s="21">
        <v>9.7000000000000003E-2</v>
      </c>
    </row>
    <row r="21" spans="1:5" ht="31.2" x14ac:dyDescent="0.3">
      <c r="A21" s="3" t="s">
        <v>14</v>
      </c>
      <c r="B21" s="3" t="s">
        <v>15</v>
      </c>
      <c r="C21" s="3" t="s">
        <v>16</v>
      </c>
      <c r="D21" s="3" t="s">
        <v>4</v>
      </c>
      <c r="E21" s="22">
        <v>0.05</v>
      </c>
    </row>
    <row r="22" spans="1:5" ht="31.2" x14ac:dyDescent="0.3">
      <c r="A22" s="3" t="s">
        <v>14</v>
      </c>
      <c r="B22" s="3" t="s">
        <v>15</v>
      </c>
      <c r="C22" s="3" t="s">
        <v>16</v>
      </c>
      <c r="D22" s="3" t="s">
        <v>5</v>
      </c>
      <c r="E22" s="21">
        <v>3.1E-2</v>
      </c>
    </row>
    <row r="23" spans="1:5" ht="15.6" x14ac:dyDescent="0.3">
      <c r="A23" s="2" t="s">
        <v>17</v>
      </c>
      <c r="B23" s="2" t="s">
        <v>18</v>
      </c>
      <c r="C23" s="2" t="s">
        <v>19</v>
      </c>
      <c r="D23" s="2" t="s">
        <v>3</v>
      </c>
      <c r="E23" s="16">
        <v>4.1599999999999998E-2</v>
      </c>
    </row>
    <row r="24" spans="1:5" ht="15.6" x14ac:dyDescent="0.3">
      <c r="A24" s="2" t="s">
        <v>17</v>
      </c>
      <c r="B24" s="2" t="s">
        <v>18</v>
      </c>
      <c r="C24" s="2" t="s">
        <v>19</v>
      </c>
      <c r="D24" s="2" t="s">
        <v>4</v>
      </c>
      <c r="E24" s="17">
        <v>0.05</v>
      </c>
    </row>
    <row r="25" spans="1:5" ht="15.6" x14ac:dyDescent="0.3">
      <c r="A25" s="2" t="s">
        <v>17</v>
      </c>
      <c r="B25" s="2" t="s">
        <v>18</v>
      </c>
      <c r="C25" s="2" t="s">
        <v>19</v>
      </c>
      <c r="D25" s="2" t="s">
        <v>5</v>
      </c>
      <c r="E25" s="16">
        <v>1.2999999999999999E-2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"/>
  <sheetViews>
    <sheetView workbookViewId="0">
      <selection activeCell="D16" sqref="D16"/>
    </sheetView>
  </sheetViews>
  <sheetFormatPr baseColWidth="10" defaultColWidth="8.88671875" defaultRowHeight="14.4" x14ac:dyDescent="0.3"/>
  <cols>
    <col min="1" max="1" width="16.33203125" customWidth="1"/>
    <col min="2" max="2" width="23.33203125" customWidth="1"/>
    <col min="3" max="3" width="25.44140625" customWidth="1"/>
    <col min="4" max="4" width="24.6640625" customWidth="1"/>
    <col min="5" max="5" width="19.6640625" customWidth="1"/>
    <col min="6" max="6" width="27" customWidth="1"/>
    <col min="7" max="7" width="18.5546875" customWidth="1"/>
  </cols>
  <sheetData>
    <row r="1" spans="1:8" ht="46.8" x14ac:dyDescent="0.3">
      <c r="A1" s="1" t="s">
        <v>0</v>
      </c>
      <c r="B1" s="1" t="s">
        <v>1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</row>
    <row r="2" spans="1:8" ht="15.6" x14ac:dyDescent="0.3">
      <c r="A2" s="10" t="s">
        <v>6</v>
      </c>
      <c r="B2" s="10" t="s">
        <v>7</v>
      </c>
      <c r="C2" s="11">
        <v>1220</v>
      </c>
      <c r="D2" s="11">
        <v>3607.2</v>
      </c>
      <c r="E2" s="11">
        <v>2576.5700000000002</v>
      </c>
      <c r="F2" s="11">
        <v>1030.6300000000001</v>
      </c>
      <c r="G2" s="11">
        <v>85.89</v>
      </c>
      <c r="H2" s="12">
        <v>14.2</v>
      </c>
    </row>
    <row r="3" spans="1:8" ht="15.6" x14ac:dyDescent="0.3">
      <c r="A3" s="6" t="s">
        <v>11</v>
      </c>
      <c r="B3" s="6" t="s">
        <v>12</v>
      </c>
      <c r="C3" s="7">
        <v>5180.32</v>
      </c>
      <c r="D3" s="7">
        <v>3607</v>
      </c>
      <c r="E3" s="7">
        <v>1202.4000000000001</v>
      </c>
      <c r="F3" s="7">
        <v>2404.8000000000002</v>
      </c>
      <c r="G3" s="7">
        <v>200.4</v>
      </c>
      <c r="H3" s="8">
        <v>25.8</v>
      </c>
    </row>
    <row r="4" spans="1:8" ht="15.6" x14ac:dyDescent="0.3">
      <c r="A4" s="3" t="s">
        <v>14</v>
      </c>
      <c r="B4" s="3" t="s">
        <v>15</v>
      </c>
      <c r="C4" s="4">
        <v>2100</v>
      </c>
      <c r="D4" s="4">
        <v>3607.2</v>
      </c>
      <c r="E4" s="4">
        <v>1803.6</v>
      </c>
      <c r="F4" s="4">
        <v>1803.6</v>
      </c>
      <c r="G4" s="4">
        <v>150.30000000000001</v>
      </c>
      <c r="H4" s="5">
        <v>14</v>
      </c>
    </row>
    <row r="5" spans="1:8" ht="15.6" x14ac:dyDescent="0.3">
      <c r="A5" s="13" t="s">
        <v>17</v>
      </c>
      <c r="B5" s="13" t="s">
        <v>18</v>
      </c>
      <c r="C5" s="14">
        <v>417.8</v>
      </c>
      <c r="D5" s="14">
        <v>9029.6</v>
      </c>
      <c r="E5" s="14">
        <v>1778.15</v>
      </c>
      <c r="F5" s="14">
        <f>D5-E5</f>
        <v>7251.4500000000007</v>
      </c>
      <c r="G5" s="14">
        <f>F5/12</f>
        <v>604.28750000000002</v>
      </c>
      <c r="H5" s="15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Base_Indicadores</vt:lpstr>
      <vt:lpstr>Base_Financiera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Dharla Zaleth Estrada Ccolcca</cp:lastModifiedBy>
  <dcterms:created xsi:type="dcterms:W3CDTF">2026-07-08T15:46:54Z</dcterms:created>
  <dcterms:modified xsi:type="dcterms:W3CDTF">2026-07-09T00:16:46Z</dcterms:modified>
</cp:coreProperties>
</file>